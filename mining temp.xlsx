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ultiwari\Downloads\"/>
    </mc:Choice>
  </mc:AlternateContent>
  <xr:revisionPtr revIDLastSave="0" documentId="8_{34FBA3F9-4C79-446F-B986-202CE5E13E32}" xr6:coauthVersionLast="47" xr6:coauthVersionMax="47" xr10:uidLastSave="{00000000-0000-0000-0000-000000000000}"/>
  <bookViews>
    <workbookView xWindow="-110" yWindow="-110" windowWidth="19420" windowHeight="10300" xr2:uid="{9CFE9C52-72CE-4474-9919-22D0859F696A}"/>
  </bookViews>
  <sheets>
    <sheet name="Sheet2" sheetId="2" r:id="rId1"/>
    <sheet name="Mining Equipments (fnl2)" sheetId="1" r:id="rId2"/>
  </sheets>
  <definedNames>
    <definedName name="_xlnm._FilterDatabase" localSheetId="1" hidden="1">'Mining Equipments (fnl2)'!$A$1:$H$16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<sst xmlns="http://schemas.openxmlformats.org/spreadsheetml/2006/main" count="218" uniqueCount="102">
  <si>
    <t>Sr. No.</t>
  </si>
  <si>
    <t>Equipment Code</t>
  </si>
  <si>
    <t>Asset no.</t>
  </si>
  <si>
    <t>Equipment</t>
  </si>
  <si>
    <t>Assets Description</t>
  </si>
  <si>
    <t xml:space="preserve"> Capitalised Cost</t>
  </si>
  <si>
    <t>Date of Capitalization</t>
  </si>
  <si>
    <t>Closing WDV as on 31st Mar 2026</t>
  </si>
  <si>
    <t>Offered Price</t>
  </si>
  <si>
    <t>Difference</t>
  </si>
  <si>
    <t>Recommendation</t>
  </si>
  <si>
    <t>Category</t>
  </si>
  <si>
    <t>MNTATA8</t>
  </si>
  <si>
    <t>Excavator</t>
  </si>
  <si>
    <t>TATA Hitachi hydraulic excavator ( Finan</t>
  </si>
  <si>
    <t>To be sold</t>
  </si>
  <si>
    <t>TATA ZX650</t>
  </si>
  <si>
    <t>MNTATA9</t>
  </si>
  <si>
    <t>TATA Hitachi model 650Z hydraulic ( Fina</t>
  </si>
  <si>
    <t>MNTATA10</t>
  </si>
  <si>
    <t>TATA HITACHI EXCAVATOR MODEL-ZX650 LEASE</t>
  </si>
  <si>
    <t>MNVOLVO210</t>
  </si>
  <si>
    <t>VOLVO Crawler Excavator- EC 210B (Financ</t>
  </si>
  <si>
    <t>VOLVO 210</t>
  </si>
  <si>
    <t>MNVOLVO300</t>
  </si>
  <si>
    <t>Volvo EC 300DL-Crawler Excavator ( Finan</t>
  </si>
  <si>
    <t>VOLVO 300</t>
  </si>
  <si>
    <t>MNCAT10</t>
  </si>
  <si>
    <t>Dumper</t>
  </si>
  <si>
    <t>CATERPILLAR MAKE DUMPER- 772G 441 (Finan</t>
  </si>
  <si>
    <t>CAT 772</t>
  </si>
  <si>
    <t>MNCAT11</t>
  </si>
  <si>
    <t>CATERPILLAR MAKE DUMPER- 772G LTS00442 (</t>
  </si>
  <si>
    <t>MNCAT12</t>
  </si>
  <si>
    <t>CATERPILLAR MAKE DUMPER- 772G LTS00443(</t>
  </si>
  <si>
    <t>MNCAT16</t>
  </si>
  <si>
    <t>CATERPILLAR MAKE DUMPER- 772G LTS00457 (</t>
  </si>
  <si>
    <t>MNCAT17</t>
  </si>
  <si>
    <t>CATERPILLAR MAKE DUMPER- 772G LTS00458 (</t>
  </si>
  <si>
    <t>MNCAT18</t>
  </si>
  <si>
    <t>CATERPILLAR MAKE DUMPER-772G LTS00465 (F</t>
  </si>
  <si>
    <t>MNDOZER4</t>
  </si>
  <si>
    <t>Dozer</t>
  </si>
  <si>
    <t>BEML- BULL DOZER D155 (Finance Lease)</t>
  </si>
  <si>
    <t>BEML D155</t>
  </si>
  <si>
    <t>MNDOZER6</t>
  </si>
  <si>
    <t>IBD155 Bull Dozer ( Finance Lease )</t>
  </si>
  <si>
    <t>MNDOZER7</t>
  </si>
  <si>
    <t>BULLDOZER355 BEML finance lease</t>
  </si>
  <si>
    <t>BEML 355</t>
  </si>
  <si>
    <t>MNJCB3</t>
  </si>
  <si>
    <t>EXCAVATOR LOADER-JCB-LEASE ASSETS</t>
  </si>
  <si>
    <t>JCB</t>
  </si>
  <si>
    <t>MNCAT19</t>
  </si>
  <si>
    <t>DUMPER CAT7772G 50MT 1SET</t>
  </si>
  <si>
    <t>MNCAT20</t>
  </si>
  <si>
    <t>MNCAT21</t>
  </si>
  <si>
    <t>MNCAT22</t>
  </si>
  <si>
    <t>DUMPER CAT772G - LTS00492</t>
  </si>
  <si>
    <t>MNCAT23</t>
  </si>
  <si>
    <t>DUMPER CAT772G - LTS00493</t>
  </si>
  <si>
    <t>MNCAT24</t>
  </si>
  <si>
    <t>DUMPER CAT772G - LTS00494</t>
  </si>
  <si>
    <t>MNCAT25</t>
  </si>
  <si>
    <t>DUMPER CAT772G - LTS00495</t>
  </si>
  <si>
    <t>MNDIESEL1613</t>
  </si>
  <si>
    <t>Tanker</t>
  </si>
  <si>
    <t>Diesel bowser 12KL</t>
  </si>
  <si>
    <t>To be kept</t>
  </si>
  <si>
    <t>TANKER</t>
  </si>
  <si>
    <t>MNWATER1613</t>
  </si>
  <si>
    <t>WATER TANKER TATA2528 10KL - MINES</t>
  </si>
  <si>
    <t>MNMAINTENANCEVAN</t>
  </si>
  <si>
    <t>Service Van</t>
  </si>
  <si>
    <t>MOBILE SERVICE UNIT -TATA 1613 CHASSIS &amp;</t>
  </si>
  <si>
    <t>NA</t>
  </si>
  <si>
    <t>SERVICE VAN</t>
  </si>
  <si>
    <t>MNMAINTENANCEVAN2</t>
  </si>
  <si>
    <t>Mobile Service Van - Tipper</t>
  </si>
  <si>
    <t>MNTATA11</t>
  </si>
  <si>
    <t>TATA ZX650 Excavator with 4 cu.m bucket</t>
  </si>
  <si>
    <t>MNTATA12</t>
  </si>
  <si>
    <t>MNTATA13</t>
  </si>
  <si>
    <t>TATA-Hitachi-Hydraulic Excavator ZX650H</t>
  </si>
  <si>
    <t>MNTATA14</t>
  </si>
  <si>
    <t>MNDUMP26</t>
  </si>
  <si>
    <t>Dumper 60MT - Komatsu India</t>
  </si>
  <si>
    <t xml:space="preserve">KOMATSU </t>
  </si>
  <si>
    <t>MNDUMP27</t>
  </si>
  <si>
    <t>Dumper-Komatsu 60MT-DGMS Kit MNDUMP27</t>
  </si>
  <si>
    <t>MNDUMP28</t>
  </si>
  <si>
    <t>Dumper-Komatsu-60MT -DGMS Kit-MNDUMP28</t>
  </si>
  <si>
    <t xml:space="preserve">MNDOZER8                      </t>
  </si>
  <si>
    <t>Komatsu D155</t>
  </si>
  <si>
    <t>KOMATSU D155</t>
  </si>
  <si>
    <t>Grand Total</t>
  </si>
  <si>
    <t>To be kept Total</t>
  </si>
  <si>
    <t>To be sold Total</t>
  </si>
  <si>
    <t>Sum of Closing WDV as on 31st Mar 2026</t>
  </si>
  <si>
    <t>Values</t>
  </si>
  <si>
    <t>Sum of Offered Price</t>
  </si>
  <si>
    <t>Count of 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</si>
</sst>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64" fontId="3" fillId="0" borderId="1" xfId="1" applyNumberFormat="1" applyFont="1" applyFill="1" applyBorder="1"/>
    <xf numFmtId="165" fontId="4" fillId="0" borderId="1" xfId="0" applyNumberFormat="1" applyFont="1" applyBorder="1" applyAlignment="1">
      <alignment horizontal="center"/>
    </xf>
    <xf numFmtId="164" fontId="0" fillId="0" borderId="1" xfId="1" applyNumberFormat="1" applyFont="1" applyFill="1" applyBorder="1"/>
    <xf numFmtId="166" fontId="0" fillId="0" borderId="1" xfId="0" applyNumberFormat="1" applyBorder="1" applyAlignment="1">
      <alignment horizontal="center"/>
    </xf>
    <xf numFmtId="1" fontId="0" fillId="0" borderId="1" xfId="0" applyNumberFormat="1" applyBorder="1"/>
    <xf numFmtId="166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Fill="1"/>
    <xf numFmtId="1" fontId="0" fillId="0" borderId="0" xfId="0" applyNumberFormat="1"/>
    <xf numFmtId="1" fontId="2" fillId="0" borderId="1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/>
    </xf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0" fontId="0" fillId="0" borderId="0" xfId="0" pivotButton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Comma" xfId="1" builtinId="3"/>
    <cellStyle name="Normal" xfId="0" builtinId="0"/>
  </cellStyles>
  <dxfs count="56"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top"/>
    </dxf>
    <dxf>
      <alignment vertical="center"/>
    </dxf>
    <dxf>
      <alignment vertical="top"/>
    </dxf>
    <dxf>
      <alignment vertical="center"/>
    </dxf>
    <dxf>
      <alignment vertical="top"/>
    </dxf>
    <dxf>
      <alignment vertical="center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Singh Tiwari" refreshedDate="46140.452810532406" createdVersion="8" refreshedVersion="8" minRefreshableVersion="3" recordCount="34" xr:uid="{3AC57E9D-4EFE-4FA6-A7AA-05ABB4B4F079}">
  <cacheSource type="worksheet">
    <worksheetSource ref="A1:L35" sheet="Mining Equipments (fnl2)"/>
  </cacheSource>
  <cacheFields count="12">
    <cacheField name="Sr. No." numFmtId="0">
      <sharedItems containsSemiMixedTypes="0" containsString="0" containsNumber="1" containsInteger="1" minValue="1" maxValue="34" count="3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</cacheField>
    <cacheField name="Equipment Code" numFmtId="0">
      <sharedItems/>
    </cacheField>
    <cacheField name="Asset no." numFmtId="0">
      <sharedItems containsSemiMixedTypes="0" containsString="0" containsNumber="1" containsInteger="1" minValue="2002224" maxValue="2000000094"/>
    </cacheField>
    <cacheField name="Equipment" numFmtId="0">
      <sharedItems count="5">
        <s v="Excavator"/>
        <s v="Dumper"/>
        <s v="Dozer"/>
        <s v="Tanker"/>
        <s v="Service Van"/>
      </sharedItems>
    </cacheField>
    <cacheField name="Assets Description" numFmtId="0">
      <sharedItems/>
    </cacheField>
    <cacheField name=" Capitalised Cost" numFmtId="164">
      <sharedItems containsSemiMixedTypes="0" containsString="0" containsNumber="1" minValue="1795730.76" maxValue="32900000"/>
    </cacheField>
    <cacheField name="Date of Capitalization" numFmtId="165">
      <sharedItems containsSemiMixedTypes="0" containsNonDate="0" containsDate="1" containsString="0" minDate="2015-10-30T00:00:00" maxDate="2025-01-02T00:00:00"/>
    </cacheField>
    <cacheField name="Closing WDV as on 31st Mar 2026" numFmtId="164">
      <sharedItems containsSemiMixedTypes="0" containsString="0" containsNumber="1" minValue="109422.28728345626" maxValue="24105571.349682394"/>
    </cacheField>
    <cacheField name="Offered Price" numFmtId="166">
      <sharedItems containsMixedTypes="1" containsNumber="1" containsInteger="1" minValue="400000" maxValue="7000000" count="13">
        <n v="2000000"/>
        <n v="1200000"/>
        <n v="1600000"/>
        <n v="2500000"/>
        <n v="3000000"/>
        <n v="500000"/>
        <n v="3500000"/>
        <n v="400000"/>
        <s v="NA"/>
        <n v="2200000"/>
        <n v="5000000"/>
        <n v="5500000"/>
        <n v="7000000"/>
      </sharedItems>
    </cacheField>
    <cacheField name="Difference" numFmtId="0">
      <sharedItems containsMixedTypes="1" containsNumber="1" minValue="-17105571.349682394" maxValue="1643316.65"/>
    </cacheField>
    <cacheField name="Recommendation" numFmtId="1">
      <sharedItems count="2">
        <s v="To be sold"/>
        <s v="To be kept"/>
      </sharedItems>
    </cacheField>
    <cacheField name="Category" numFmtId="0">
      <sharedItems count="11">
        <s v="TATA ZX650"/>
        <s v="VOLVO 210"/>
        <s v="VOLVO 300"/>
        <s v="CAT 772"/>
        <s v="BEML D155"/>
        <s v="BEML 355"/>
        <s v="JCB"/>
        <s v="TANKER"/>
        <s v="SERVICE VAN"/>
        <s v="KOMATSU "/>
        <s v="KOMATSU D15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MNTATA8"/>
    <n v="2002325"/>
    <x v="0"/>
    <s v="TATA Hitachi hydraulic excavator ( Finan"/>
    <n v="17403257"/>
    <d v="2017-09-15T00:00:00"/>
    <n v="870162.85"/>
    <x v="0"/>
    <n v="1129837.1499999999"/>
    <x v="0"/>
    <x v="0"/>
  </r>
  <r>
    <x v="1"/>
    <s v="MNTATA9"/>
    <n v="2002327"/>
    <x v="0"/>
    <s v="TATA Hitachi model 650Z hydraulic ( Fina"/>
    <n v="17964999"/>
    <d v="2017-09-26T00:00:00"/>
    <n v="898249.95"/>
    <x v="0"/>
    <n v="1101750.05"/>
    <x v="0"/>
    <x v="0"/>
  </r>
  <r>
    <x v="2"/>
    <s v="MNTATA10"/>
    <n v="2002519"/>
    <x v="0"/>
    <s v="TATA HITACHI EXCAVATOR MODEL-ZX650 LEASE"/>
    <n v="17265000"/>
    <d v="2018-05-15T00:00:00"/>
    <n v="1037153.4784952581"/>
    <x v="0"/>
    <n v="962846.52150474186"/>
    <x v="0"/>
    <x v="0"/>
  </r>
  <r>
    <x v="3"/>
    <s v="MNVOLVO210"/>
    <n v="2002224"/>
    <x v="0"/>
    <s v="VOLVO Crawler Excavator- EC 210B (Financ"/>
    <n v="4747544"/>
    <d v="2015-10-30T00:00:00"/>
    <n v="237377.2"/>
    <x v="1"/>
    <n v="962622.8"/>
    <x v="0"/>
    <x v="1"/>
  </r>
  <r>
    <x v="4"/>
    <s v="MNVOLVO300"/>
    <n v="2002311"/>
    <x v="0"/>
    <s v="Volvo EC 300DL-Crawler Excavator ( Finan"/>
    <n v="9431868"/>
    <d v="2017-11-07T00:00:00"/>
    <n v="471593.4"/>
    <x v="2"/>
    <n v="1128406.6000000001"/>
    <x v="0"/>
    <x v="2"/>
  </r>
  <r>
    <x v="5"/>
    <s v="MNCAT10"/>
    <n v="2002410"/>
    <x v="1"/>
    <s v="CATERPILLAR MAKE DUMPER- 772G 441 (Finan"/>
    <n v="17133667"/>
    <d v="2017-10-25T00:00:00"/>
    <n v="856683.35"/>
    <x v="3"/>
    <n v="1643316.65"/>
    <x v="0"/>
    <x v="3"/>
  </r>
  <r>
    <x v="6"/>
    <s v="MNCAT11"/>
    <n v="2002411"/>
    <x v="1"/>
    <s v="CATERPILLAR MAKE DUMPER- 772G LTS00442 ("/>
    <n v="17133667"/>
    <d v="2017-10-25T00:00:00"/>
    <n v="856683.35"/>
    <x v="3"/>
    <n v="1643316.65"/>
    <x v="0"/>
    <x v="3"/>
  </r>
  <r>
    <x v="7"/>
    <s v="MNCAT12"/>
    <n v="2002412"/>
    <x v="1"/>
    <s v="CATERPILLAR MAKE DUMPER- 772G LTS00443("/>
    <n v="17133667"/>
    <d v="2017-10-25T00:00:00"/>
    <n v="856683.35"/>
    <x v="3"/>
    <n v="1643316.65"/>
    <x v="0"/>
    <x v="3"/>
  </r>
  <r>
    <x v="8"/>
    <s v="MNCAT16"/>
    <n v="2002733"/>
    <x v="1"/>
    <s v="CATERPILLAR MAKE DUMPER- 772G LTS00457 ("/>
    <n v="17200000"/>
    <d v="2018-07-31T00:00:00"/>
    <n v="1540300.4363904109"/>
    <x v="4"/>
    <n v="1459699.5636095891"/>
    <x v="0"/>
    <x v="3"/>
  </r>
  <r>
    <x v="9"/>
    <s v="MNCAT17"/>
    <n v="2002734"/>
    <x v="1"/>
    <s v="CATERPILLAR MAKE DUMPER- 772G LTS00458 ("/>
    <n v="17200000"/>
    <d v="2018-07-31T00:00:00"/>
    <n v="1540300.4363904109"/>
    <x v="4"/>
    <n v="1459699.5636095891"/>
    <x v="0"/>
    <x v="3"/>
  </r>
  <r>
    <x v="10"/>
    <s v="MNCAT18"/>
    <n v="2002761"/>
    <x v="1"/>
    <s v="CATERPILLAR MAKE DUMPER-772G LTS00465 (F"/>
    <n v="17200000"/>
    <d v="2018-10-29T00:00:00"/>
    <n v="2049036.5132083634"/>
    <x v="4"/>
    <n v="950963.48679163656"/>
    <x v="0"/>
    <x v="3"/>
  </r>
  <r>
    <x v="11"/>
    <s v="MNDOZER4"/>
    <n v="2002226"/>
    <x v="2"/>
    <s v="BEML- BULL DOZER D155 (Finance Lease)"/>
    <n v="16646998"/>
    <d v="2015-11-30T00:00:00"/>
    <n v="832349.9"/>
    <x v="0"/>
    <n v="1167650.1000000001"/>
    <x v="0"/>
    <x v="4"/>
  </r>
  <r>
    <x v="12"/>
    <s v="MNDOZER6"/>
    <n v="2002284"/>
    <x v="2"/>
    <s v="IBD155 Bull Dozer ( Finance Lease )"/>
    <n v="17280245"/>
    <d v="2016-12-19T00:00:00"/>
    <n v="864012.25"/>
    <x v="0"/>
    <n v="1135987.75"/>
    <x v="0"/>
    <x v="4"/>
  </r>
  <r>
    <x v="13"/>
    <s v="MNDOZER7"/>
    <n v="2002310"/>
    <x v="2"/>
    <s v="BULLDOZER355 BEML finance lease"/>
    <n v="22418668"/>
    <d v="2017-11-07T00:00:00"/>
    <n v="1120933.3999999999"/>
    <x v="3"/>
    <n v="1379066.6"/>
    <x v="0"/>
    <x v="5"/>
  </r>
  <r>
    <x v="14"/>
    <s v="MNJCB3"/>
    <n v="2002518"/>
    <x v="0"/>
    <s v="EXCAVATOR LOADER-JCB-LEASE ASSETS"/>
    <n v="1976009"/>
    <d v="2018-05-15T00:00:00"/>
    <n v="109422.28728345626"/>
    <x v="5"/>
    <n v="390577.71271654376"/>
    <x v="0"/>
    <x v="6"/>
  </r>
  <r>
    <x v="15"/>
    <s v="MNCAT19"/>
    <n v="2003084"/>
    <x v="1"/>
    <s v="DUMPER CAT7772G 50MT 1SET"/>
    <n v="17498250"/>
    <d v="2019-09-24T00:00:00"/>
    <n v="3974078.8103232877"/>
    <x v="6"/>
    <n v="-474078.81032328773"/>
    <x v="0"/>
    <x v="3"/>
  </r>
  <r>
    <x v="16"/>
    <s v="MNCAT20"/>
    <n v="2003085"/>
    <x v="1"/>
    <s v="DUMPER CAT7772G 50MT 1SET"/>
    <n v="17498250"/>
    <d v="2019-09-24T00:00:00"/>
    <n v="3974078.8103232877"/>
    <x v="6"/>
    <n v="-474078.81032328773"/>
    <x v="0"/>
    <x v="3"/>
  </r>
  <r>
    <x v="17"/>
    <s v="MNCAT21"/>
    <n v="2003086"/>
    <x v="1"/>
    <s v="DUMPER CAT7772G 50MT 1SET"/>
    <n v="17503500"/>
    <d v="2019-09-24T00:00:00"/>
    <n v="3975271.161282192"/>
    <x v="6"/>
    <n v="-475271.16128219198"/>
    <x v="0"/>
    <x v="3"/>
  </r>
  <r>
    <x v="18"/>
    <s v="MNCAT22"/>
    <n v="2003151"/>
    <x v="1"/>
    <s v="DUMPER CAT772G - LTS00492"/>
    <n v="17500000"/>
    <d v="2020-01-21T00:00:00"/>
    <n v="4657469.8184947623"/>
    <x v="6"/>
    <n v="-1157469.8184947623"/>
    <x v="0"/>
    <x v="3"/>
  </r>
  <r>
    <x v="19"/>
    <s v="MNCAT23"/>
    <n v="2003152"/>
    <x v="1"/>
    <s v="DUMPER CAT772G - LTS00493"/>
    <n v="17500000"/>
    <d v="2020-01-21T00:00:00"/>
    <n v="4657469.8184947623"/>
    <x v="6"/>
    <n v="-1157469.8184947623"/>
    <x v="0"/>
    <x v="3"/>
  </r>
  <r>
    <x v="20"/>
    <s v="MNCAT24"/>
    <n v="2003153"/>
    <x v="1"/>
    <s v="DUMPER CAT772G - LTS00494"/>
    <n v="17500000"/>
    <d v="2020-01-21T00:00:00"/>
    <n v="4657469.8184947623"/>
    <x v="6"/>
    <n v="-1157469.8184947623"/>
    <x v="0"/>
    <x v="3"/>
  </r>
  <r>
    <x v="21"/>
    <s v="MNCAT25"/>
    <n v="2003154"/>
    <x v="1"/>
    <s v="DUMPER CAT772G - LTS00495"/>
    <n v="17500000"/>
    <d v="2020-01-21T00:00:00"/>
    <n v="4657469.8184947623"/>
    <x v="6"/>
    <n v="-1157469.8184947623"/>
    <x v="0"/>
    <x v="3"/>
  </r>
  <r>
    <x v="22"/>
    <s v="MNDIESEL1613"/>
    <n v="3100339"/>
    <x v="3"/>
    <s v="Diesel bowser 12KL"/>
    <n v="1944605.76"/>
    <d v="2019-03-01T00:00:00"/>
    <n v="264530.51710899343"/>
    <x v="7"/>
    <n v="135469.48289100657"/>
    <x v="1"/>
    <x v="7"/>
  </r>
  <r>
    <x v="23"/>
    <s v="MNWATER1613"/>
    <n v="3100323"/>
    <x v="3"/>
    <s v="WATER TANKER TATA2528 10KL - MINES"/>
    <n v="1795730.76"/>
    <d v="2018-07-31T00:00:00"/>
    <n v="162107.15676027397"/>
    <x v="7"/>
    <n v="237892.84323972603"/>
    <x v="1"/>
    <x v="7"/>
  </r>
  <r>
    <x v="24"/>
    <s v="MNMAINTENANCEVAN"/>
    <n v="3100354"/>
    <x v="4"/>
    <s v="MOBILE SERVICE UNIT -TATA 1613 CHASSIS &amp;"/>
    <n v="2890393"/>
    <d v="2020-07-13T00:00:00"/>
    <n v="836441.49966701795"/>
    <x v="8"/>
    <s v="NA"/>
    <x v="1"/>
    <x v="8"/>
  </r>
  <r>
    <x v="25"/>
    <s v="MNMAINTENANCEVAN2"/>
    <n v="2000000094"/>
    <x v="4"/>
    <s v="Mobile Service Van - Tipper"/>
    <n v="3578442.51"/>
    <d v="2025-01-01T00:00:00"/>
    <n v="3048722.7114452054"/>
    <x v="8"/>
    <s v="NA"/>
    <x v="1"/>
    <x v="8"/>
  </r>
  <r>
    <x v="26"/>
    <s v="MNTATA11"/>
    <n v="2003332"/>
    <x v="0"/>
    <s v="TATA ZX650 Excavator with 4 cu.m bucket"/>
    <n v="15290667"/>
    <d v="2021-08-14T00:00:00"/>
    <n v="5454364.0278640483"/>
    <x v="9"/>
    <n v="-3254364.0278640483"/>
    <x v="1"/>
    <x v="0"/>
  </r>
  <r>
    <x v="27"/>
    <s v="MNTATA12"/>
    <n v="2003343"/>
    <x v="0"/>
    <s v="TATA ZX650 Excavator with 4 cu.m bucket"/>
    <n v="18300000"/>
    <d v="2021-09-07T00:00:00"/>
    <n v="8365818.9869806161"/>
    <x v="9"/>
    <n v="-6165818.9869806161"/>
    <x v="1"/>
    <x v="0"/>
  </r>
  <r>
    <x v="28"/>
    <s v="MNTATA13"/>
    <n v="2003633"/>
    <x v="0"/>
    <s v="TATA-Hitachi-Hydraulic Excavator ZX650H"/>
    <n v="19750000"/>
    <d v="2023-08-01T00:00:00"/>
    <n v="9743333.3108876701"/>
    <x v="3"/>
    <n v="-7243333.3108876701"/>
    <x v="1"/>
    <x v="0"/>
  </r>
  <r>
    <x v="29"/>
    <s v="MNTATA14"/>
    <n v="2003634"/>
    <x v="0"/>
    <s v="TATA-Hitachi-Hydraulic Excavator ZX650H"/>
    <n v="19750000"/>
    <d v="2023-08-31T00:00:00"/>
    <n v="10053236.679346476"/>
    <x v="3"/>
    <n v="-7553236.6793464758"/>
    <x v="1"/>
    <x v="0"/>
  </r>
  <r>
    <x v="30"/>
    <s v="MNDUMP26"/>
    <n v="2003753"/>
    <x v="1"/>
    <s v="Dumper 60MT - Komatsu India"/>
    <n v="26000000"/>
    <d v="2024-01-16T00:00:00"/>
    <n v="19231585.647913132"/>
    <x v="10"/>
    <n v="-14231585.647913132"/>
    <x v="1"/>
    <x v="9"/>
  </r>
  <r>
    <x v="31"/>
    <s v="MNDUMP27"/>
    <n v="1300003011"/>
    <x v="1"/>
    <s v="Dumper-Komatsu 60MT-DGMS Kit MNDUMP27"/>
    <n v="26600000"/>
    <d v="2024-06-28T00:00:00"/>
    <n v="17710498.694383562"/>
    <x v="11"/>
    <n v="-12210498.694383562"/>
    <x v="1"/>
    <x v="9"/>
  </r>
  <r>
    <x v="32"/>
    <s v="MNDUMP28"/>
    <n v="1300003012"/>
    <x v="1"/>
    <s v="Dumper-Komatsu-60MT -DGMS Kit-MNDUMP28"/>
    <n v="26600000"/>
    <d v="2024-06-28T00:00:00"/>
    <n v="16699698.704383561"/>
    <x v="11"/>
    <n v="-11199698.704383561"/>
    <x v="1"/>
    <x v="9"/>
  </r>
  <r>
    <x v="33"/>
    <s v="MNDOZER8                      "/>
    <n v="2003721"/>
    <x v="2"/>
    <s v="Komatsu D155"/>
    <n v="32900000"/>
    <d v="2023-12-31T00:00:00"/>
    <n v="24105571.349682394"/>
    <x v="12"/>
    <n v="-17105571.349682394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6E12B-2665-4063-917B-8138AF0AC73D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9" firstHeaderRow="1" firstDataRow="2" firstDataCol="3"/>
  <pivotFields count="12">
    <pivotField dataField="1"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5">
        <item x="2"/>
        <item x="1"/>
        <item x="0"/>
        <item x="4"/>
        <item x="3"/>
      </items>
    </pivotField>
    <pivotField compact="0" outline="0" showAll="0"/>
    <pivotField compact="0" numFmtId="164" outline="0" showAll="0"/>
    <pivotField compact="0" numFmtId="165" outline="0" showAll="0"/>
    <pivotField dataField="1" compact="0" numFmtId="164" outline="0" showAll="0"/>
    <pivotField dataField="1" compact="0" outline="0" showAll="0">
      <items count="14">
        <item x="7"/>
        <item x="5"/>
        <item x="1"/>
        <item x="2"/>
        <item x="0"/>
        <item x="9"/>
        <item x="3"/>
        <item x="4"/>
        <item x="6"/>
        <item x="10"/>
        <item x="11"/>
        <item x="12"/>
        <item x="8"/>
        <item t="default"/>
      </items>
    </pivotField>
    <pivotField compact="0" outline="0" showAll="0"/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 defaultSubtotal="0">
      <items count="11">
        <item x="5"/>
        <item x="4"/>
        <item x="3"/>
        <item x="6"/>
        <item x="9"/>
        <item x="10"/>
        <item x="8"/>
        <item x="7"/>
        <item x="0"/>
        <item x="1"/>
        <item x="2"/>
      </items>
    </pivotField>
  </pivotFields>
  <rowFields count="3">
    <field x="10"/>
    <field x="3"/>
    <field x="11"/>
  </rowFields>
  <rowItems count="15">
    <i>
      <x v="1"/>
      <x/>
      <x/>
    </i>
    <i r="2">
      <x v="1"/>
    </i>
    <i r="1">
      <x v="1"/>
      <x v="2"/>
    </i>
    <i r="1">
      <x v="2"/>
      <x v="3"/>
    </i>
    <i r="2">
      <x v="8"/>
    </i>
    <i r="2">
      <x v="9"/>
    </i>
    <i r="2">
      <x v="10"/>
    </i>
    <i t="default">
      <x v="1"/>
    </i>
    <i>
      <x/>
      <x/>
      <x v="5"/>
    </i>
    <i r="1">
      <x v="1"/>
      <x v="4"/>
    </i>
    <i r="1">
      <x v="2"/>
      <x v="8"/>
    </i>
    <i r="1">
      <x v="3"/>
      <x v="6"/>
    </i>
    <i r="1">
      <x v="4"/>
      <x v="7"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r. No." fld="0" subtotal="count" baseField="11" baseItem="5"/>
    <dataField name="Sum of Closing WDV as on 31st Mar 2026" fld="7" baseField="0" baseItem="0" numFmtId="164"/>
    <dataField name="Sum of Offered Price" fld="8" baseField="11" baseItem="5"/>
  </dataFields>
  <formats count="10"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">
      <pivotArea field="10" type="button" dataOnly="0" labelOnly="1" outline="0" axis="axisRow" fieldPosition="0"/>
    </format>
    <format dxfId="50">
      <pivotArea field="3" type="button" dataOnly="0" labelOnly="1" outline="0" axis="axisRow" fieldPosition="1"/>
    </format>
    <format dxfId="49">
      <pivotArea field="11" type="button" dataOnly="0" labelOnly="1" outline="0" axis="axisRow" fieldPosition="2"/>
    </format>
    <format dxfId="4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7">
      <pivotArea field="10" type="button" dataOnly="0" labelOnly="1" outline="0" axis="axisRow" fieldPosition="0"/>
    </format>
    <format dxfId="45">
      <pivotArea field="3" type="button" dataOnly="0" labelOnly="1" outline="0" axis="axisRow" fieldPosition="1"/>
    </format>
    <format dxfId="43">
      <pivotArea field="11" type="button" dataOnly="0" labelOnly="1" outline="0" axis="axisRow" fieldPosition="2"/>
    </format>
    <format dxfId="4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0C3B-9F05-49BB-A682-ECDB108D6C37}">
  <dimension ref="A3:G19"/>
  <sheetViews>
    <sheetView tabSelected="1" topLeftCell="A8" workbookViewId="0">
      <selection activeCell="E10" sqref="E10"/>
    </sheetView>
  </sheetViews>
  <sheetFormatPr defaultRowHeight="14.5" x14ac:dyDescent="0.35"/>
  <cols>
    <col min="1" max="1" width="18" bestFit="1" customWidth="1"/>
    <col min="2" max="2" width="15" bestFit="1" customWidth="1"/>
    <col min="3" max="3" width="14.08984375" bestFit="1" customWidth="1"/>
    <col min="4" max="4" width="14.1796875" bestFit="1" customWidth="1"/>
    <col min="5" max="5" width="14.08984375" bestFit="1" customWidth="1"/>
    <col min="6" max="6" width="8.81640625" bestFit="1" customWidth="1"/>
  </cols>
  <sheetData>
    <row r="3" spans="1:7" x14ac:dyDescent="0.35">
      <c r="D3" s="22" t="s">
        <v>99</v>
      </c>
    </row>
    <row r="4" spans="1:7" s="27" customFormat="1" ht="43.5" x14ac:dyDescent="0.35">
      <c r="A4" s="25" t="s">
        <v>10</v>
      </c>
      <c r="B4" s="25" t="s">
        <v>3</v>
      </c>
      <c r="C4" s="25" t="s">
        <v>11</v>
      </c>
      <c r="D4" t="s">
        <v>101</v>
      </c>
      <c r="E4" s="26" t="s">
        <v>98</v>
      </c>
      <c r="F4" s="26" t="s">
        <v>100</v>
      </c>
    </row>
    <row r="5" spans="1:7" x14ac:dyDescent="0.35">
      <c r="A5" t="s">
        <v>15</v>
      </c>
      <c r="B5" t="s">
        <v>42</v>
      </c>
      <c r="C5" t="s">
        <v>49</v>
      </c>
      <c r="D5" s="24">
        <v>1</v>
      </c>
      <c r="E5" s="23">
        <v>1120933.3999999999</v>
      </c>
      <c r="F5" s="24">
        <v>2500000</v>
      </c>
      <c r="G5" s="24">
        <v>3401322</v>
      </c>
    </row>
    <row r="6" spans="1:7" x14ac:dyDescent="0.35">
      <c r="C6" t="s">
        <v>44</v>
      </c>
      <c r="D6" s="24">
        <v>2</v>
      </c>
      <c r="E6" s="23">
        <v>1696362.15</v>
      </c>
      <c r="F6" s="24">
        <v>4000000</v>
      </c>
    </row>
    <row r="7" spans="1:7" x14ac:dyDescent="0.35">
      <c r="B7" t="s">
        <v>28</v>
      </c>
      <c r="C7" t="s">
        <v>30</v>
      </c>
      <c r="D7" s="24">
        <v>13</v>
      </c>
      <c r="E7" s="23">
        <v>38252995.491897002</v>
      </c>
      <c r="F7" s="24">
        <v>41000000</v>
      </c>
    </row>
    <row r="8" spans="1:7" x14ac:dyDescent="0.35">
      <c r="B8" t="s">
        <v>13</v>
      </c>
      <c r="C8" t="s">
        <v>52</v>
      </c>
      <c r="D8" s="24">
        <v>1</v>
      </c>
      <c r="E8" s="23">
        <v>109422.28728345626</v>
      </c>
      <c r="F8" s="24">
        <v>500000</v>
      </c>
    </row>
    <row r="9" spans="1:7" x14ac:dyDescent="0.35">
      <c r="C9" t="s">
        <v>16</v>
      </c>
      <c r="D9" s="24">
        <v>3</v>
      </c>
      <c r="E9" s="23">
        <v>2805566.2784952577</v>
      </c>
      <c r="F9" s="24">
        <v>6000000</v>
      </c>
    </row>
    <row r="10" spans="1:7" x14ac:dyDescent="0.35">
      <c r="C10" t="s">
        <v>23</v>
      </c>
      <c r="D10" s="24">
        <v>1</v>
      </c>
      <c r="E10" s="23">
        <v>237377.2</v>
      </c>
      <c r="F10" s="24">
        <v>1200000</v>
      </c>
    </row>
    <row r="11" spans="1:7" x14ac:dyDescent="0.35">
      <c r="C11" t="s">
        <v>26</v>
      </c>
      <c r="D11" s="24">
        <v>1</v>
      </c>
      <c r="E11" s="23">
        <v>471593.4</v>
      </c>
      <c r="F11" s="24">
        <v>1600000</v>
      </c>
    </row>
    <row r="12" spans="1:7" x14ac:dyDescent="0.35">
      <c r="A12" t="s">
        <v>97</v>
      </c>
      <c r="D12" s="24">
        <v>22</v>
      </c>
      <c r="E12" s="23">
        <v>44694250.207675718</v>
      </c>
      <c r="F12" s="24">
        <v>56800000</v>
      </c>
    </row>
    <row r="13" spans="1:7" x14ac:dyDescent="0.35">
      <c r="A13" t="s">
        <v>68</v>
      </c>
      <c r="B13" t="s">
        <v>42</v>
      </c>
      <c r="C13" t="s">
        <v>94</v>
      </c>
      <c r="D13" s="24">
        <v>1</v>
      </c>
      <c r="E13" s="23">
        <v>24105571.349682394</v>
      </c>
      <c r="F13" s="24">
        <v>7000000</v>
      </c>
    </row>
    <row r="14" spans="1:7" x14ac:dyDescent="0.35">
      <c r="B14" t="s">
        <v>28</v>
      </c>
      <c r="C14" t="s">
        <v>87</v>
      </c>
      <c r="D14" s="24">
        <v>3</v>
      </c>
      <c r="E14" s="23">
        <v>53641783.046680249</v>
      </c>
      <c r="F14" s="24">
        <v>16000000</v>
      </c>
    </row>
    <row r="15" spans="1:7" x14ac:dyDescent="0.35">
      <c r="B15" t="s">
        <v>13</v>
      </c>
      <c r="C15" t="s">
        <v>16</v>
      </c>
      <c r="D15" s="24">
        <v>4</v>
      </c>
      <c r="E15" s="23">
        <v>33616753.005078807</v>
      </c>
      <c r="F15" s="24">
        <v>9400000</v>
      </c>
    </row>
    <row r="16" spans="1:7" x14ac:dyDescent="0.35">
      <c r="B16" t="s">
        <v>73</v>
      </c>
      <c r="C16" t="s">
        <v>76</v>
      </c>
      <c r="D16" s="24">
        <v>2</v>
      </c>
      <c r="E16" s="23">
        <v>3885164.2111122236</v>
      </c>
      <c r="F16" s="24">
        <v>0</v>
      </c>
    </row>
    <row r="17" spans="1:6" x14ac:dyDescent="0.35">
      <c r="B17" t="s">
        <v>66</v>
      </c>
      <c r="C17" t="s">
        <v>69</v>
      </c>
      <c r="D17" s="24">
        <v>2</v>
      </c>
      <c r="E17" s="23">
        <v>426637.6738692674</v>
      </c>
      <c r="F17" s="24">
        <v>800000</v>
      </c>
    </row>
    <row r="18" spans="1:6" x14ac:dyDescent="0.35">
      <c r="A18" t="s">
        <v>96</v>
      </c>
      <c r="D18" s="24">
        <v>12</v>
      </c>
      <c r="E18" s="23">
        <v>115675909.28642295</v>
      </c>
      <c r="F18" s="24">
        <v>33200000</v>
      </c>
    </row>
    <row r="19" spans="1:6" x14ac:dyDescent="0.35">
      <c r="A19" t="s">
        <v>95</v>
      </c>
      <c r="D19" s="24">
        <v>34</v>
      </c>
      <c r="E19" s="23">
        <v>160370159.49409866</v>
      </c>
      <c r="F19" s="24">
        <v>90000000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46E-DBB8-4BAB-9FBB-E3FF48A6DE50}">
  <sheetPr>
    <tabColor rgb="FF92D050"/>
  </sheetPr>
  <dimension ref="A1:L35"/>
  <sheetViews>
    <sheetView showGridLines="0" topLeftCell="B1" zoomScale="90" zoomScaleNormal="90" workbookViewId="0">
      <pane ySplit="1" topLeftCell="A26" activePane="bottomLeft" state="frozen"/>
      <selection pane="bottomLeft" activeCell="E36" sqref="E36"/>
    </sheetView>
  </sheetViews>
  <sheetFormatPr defaultColWidth="8.6328125" defaultRowHeight="14.5" x14ac:dyDescent="0.35"/>
  <cols>
    <col min="1" max="1" width="16.7265625" bestFit="1" customWidth="1"/>
    <col min="2" max="2" width="19.6328125" bestFit="1" customWidth="1"/>
    <col min="3" max="3" width="13.08984375" bestFit="1" customWidth="1"/>
    <col min="4" max="4" width="12" bestFit="1" customWidth="1"/>
    <col min="5" max="5" width="37.453125" style="17" bestFit="1" customWidth="1"/>
    <col min="6" max="6" width="12.54296875" bestFit="1" customWidth="1"/>
    <col min="7" max="7" width="12.6328125" bestFit="1" customWidth="1"/>
    <col min="8" max="8" width="15.7265625" style="18" bestFit="1" customWidth="1"/>
    <col min="9" max="9" width="12" bestFit="1" customWidth="1"/>
    <col min="10" max="10" width="9.54296875" style="19" bestFit="1" customWidth="1"/>
    <col min="11" max="11" width="15.90625" style="19" bestFit="1" customWidth="1"/>
    <col min="12" max="12" width="12.26953125" customWidth="1"/>
  </cols>
  <sheetData>
    <row r="1" spans="1:12" s="5" customFormat="1" ht="42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 t="s">
        <v>11</v>
      </c>
    </row>
    <row r="2" spans="1:12" x14ac:dyDescent="0.35">
      <c r="A2" s="6">
        <v>1</v>
      </c>
      <c r="B2" s="7" t="s">
        <v>12</v>
      </c>
      <c r="C2" s="6">
        <v>2002325</v>
      </c>
      <c r="D2" s="6" t="s">
        <v>13</v>
      </c>
      <c r="E2" s="8" t="s">
        <v>14</v>
      </c>
      <c r="F2" s="9">
        <v>17403257</v>
      </c>
      <c r="G2" s="10">
        <v>42993</v>
      </c>
      <c r="H2" s="11">
        <v>870162.85</v>
      </c>
      <c r="I2" s="12">
        <v>2000000</v>
      </c>
      <c r="J2" s="13">
        <f>I2-H2</f>
        <v>1129837.1499999999</v>
      </c>
      <c r="K2" s="20" t="s">
        <v>15</v>
      </c>
      <c r="L2" t="s">
        <v>16</v>
      </c>
    </row>
    <row r="3" spans="1:12" x14ac:dyDescent="0.35">
      <c r="A3" s="6">
        <v>2</v>
      </c>
      <c r="B3" s="7" t="s">
        <v>17</v>
      </c>
      <c r="C3" s="6">
        <v>2002327</v>
      </c>
      <c r="D3" s="6" t="s">
        <v>13</v>
      </c>
      <c r="E3" s="8" t="s">
        <v>18</v>
      </c>
      <c r="F3" s="9">
        <v>17964999</v>
      </c>
      <c r="G3" s="10">
        <v>43004</v>
      </c>
      <c r="H3" s="11">
        <v>898249.95</v>
      </c>
      <c r="I3" s="12">
        <v>2000000</v>
      </c>
      <c r="J3" s="13">
        <f>I3-H3</f>
        <v>1101750.05</v>
      </c>
      <c r="K3" s="20" t="s">
        <v>15</v>
      </c>
      <c r="L3" t="s">
        <v>16</v>
      </c>
    </row>
    <row r="4" spans="1:12" x14ac:dyDescent="0.35">
      <c r="A4" s="6">
        <v>3</v>
      </c>
      <c r="B4" s="7" t="s">
        <v>19</v>
      </c>
      <c r="C4" s="6">
        <v>2002519</v>
      </c>
      <c r="D4" s="6" t="s">
        <v>13</v>
      </c>
      <c r="E4" s="8" t="s">
        <v>20</v>
      </c>
      <c r="F4" s="9">
        <v>17265000</v>
      </c>
      <c r="G4" s="10">
        <v>43235</v>
      </c>
      <c r="H4" s="11">
        <v>1037153.4784952581</v>
      </c>
      <c r="I4" s="12">
        <v>2000000</v>
      </c>
      <c r="J4" s="13">
        <f>I4-H4</f>
        <v>962846.52150474186</v>
      </c>
      <c r="K4" s="20" t="s">
        <v>15</v>
      </c>
      <c r="L4" t="s">
        <v>16</v>
      </c>
    </row>
    <row r="5" spans="1:12" x14ac:dyDescent="0.35">
      <c r="A5" s="6">
        <v>4</v>
      </c>
      <c r="B5" s="8" t="s">
        <v>21</v>
      </c>
      <c r="C5" s="6">
        <v>2002224</v>
      </c>
      <c r="D5" s="6" t="s">
        <v>13</v>
      </c>
      <c r="E5" s="8" t="s">
        <v>22</v>
      </c>
      <c r="F5" s="9">
        <v>4747544</v>
      </c>
      <c r="G5" s="10">
        <v>42307</v>
      </c>
      <c r="H5" s="11">
        <v>237377.2</v>
      </c>
      <c r="I5" s="12">
        <v>1200000</v>
      </c>
      <c r="J5" s="13">
        <f>I5-H5</f>
        <v>962622.8</v>
      </c>
      <c r="K5" s="20" t="s">
        <v>15</v>
      </c>
      <c r="L5" t="s">
        <v>23</v>
      </c>
    </row>
    <row r="6" spans="1:12" x14ac:dyDescent="0.35">
      <c r="A6" s="6">
        <v>5</v>
      </c>
      <c r="B6" s="8" t="s">
        <v>24</v>
      </c>
      <c r="C6" s="6">
        <v>2002311</v>
      </c>
      <c r="D6" s="6" t="s">
        <v>13</v>
      </c>
      <c r="E6" s="8" t="s">
        <v>25</v>
      </c>
      <c r="F6" s="9">
        <v>9431868</v>
      </c>
      <c r="G6" s="10">
        <v>43046</v>
      </c>
      <c r="H6" s="11">
        <v>471593.4</v>
      </c>
      <c r="I6" s="12">
        <v>1600000</v>
      </c>
      <c r="J6" s="13">
        <f>I6-H6</f>
        <v>1128406.6000000001</v>
      </c>
      <c r="K6" s="20" t="s">
        <v>15</v>
      </c>
      <c r="L6" t="s">
        <v>26</v>
      </c>
    </row>
    <row r="7" spans="1:12" x14ac:dyDescent="0.35">
      <c r="A7" s="6">
        <v>6</v>
      </c>
      <c r="B7" s="7" t="s">
        <v>27</v>
      </c>
      <c r="C7" s="6">
        <v>2002410</v>
      </c>
      <c r="D7" s="6" t="s">
        <v>28</v>
      </c>
      <c r="E7" s="8" t="s">
        <v>29</v>
      </c>
      <c r="F7" s="9">
        <v>17133667</v>
      </c>
      <c r="G7" s="10">
        <v>43033</v>
      </c>
      <c r="H7" s="11">
        <v>856683.35</v>
      </c>
      <c r="I7" s="14">
        <v>2500000</v>
      </c>
      <c r="J7" s="13">
        <f>I7-H7</f>
        <v>1643316.65</v>
      </c>
      <c r="K7" s="20" t="s">
        <v>15</v>
      </c>
      <c r="L7" t="s">
        <v>30</v>
      </c>
    </row>
    <row r="8" spans="1:12" x14ac:dyDescent="0.35">
      <c r="A8" s="6">
        <v>7</v>
      </c>
      <c r="B8" s="7" t="s">
        <v>31</v>
      </c>
      <c r="C8" s="6">
        <v>2002411</v>
      </c>
      <c r="D8" s="6" t="s">
        <v>28</v>
      </c>
      <c r="E8" s="8" t="s">
        <v>32</v>
      </c>
      <c r="F8" s="9">
        <v>17133667</v>
      </c>
      <c r="G8" s="10">
        <v>43033</v>
      </c>
      <c r="H8" s="11">
        <v>856683.35</v>
      </c>
      <c r="I8" s="14">
        <v>2500000</v>
      </c>
      <c r="J8" s="13">
        <f>I8-H8</f>
        <v>1643316.65</v>
      </c>
      <c r="K8" s="20" t="s">
        <v>15</v>
      </c>
      <c r="L8" t="s">
        <v>30</v>
      </c>
    </row>
    <row r="9" spans="1:12" x14ac:dyDescent="0.35">
      <c r="A9" s="6">
        <v>8</v>
      </c>
      <c r="B9" s="7" t="s">
        <v>33</v>
      </c>
      <c r="C9" s="6">
        <v>2002412</v>
      </c>
      <c r="D9" s="6" t="s">
        <v>28</v>
      </c>
      <c r="E9" s="8" t="s">
        <v>34</v>
      </c>
      <c r="F9" s="9">
        <v>17133667</v>
      </c>
      <c r="G9" s="10">
        <v>43033</v>
      </c>
      <c r="H9" s="11">
        <v>856683.35</v>
      </c>
      <c r="I9" s="14">
        <v>2500000</v>
      </c>
      <c r="J9" s="13">
        <f>I9-H9</f>
        <v>1643316.65</v>
      </c>
      <c r="K9" s="20" t="s">
        <v>15</v>
      </c>
      <c r="L9" t="s">
        <v>30</v>
      </c>
    </row>
    <row r="10" spans="1:12" x14ac:dyDescent="0.35">
      <c r="A10" s="6">
        <v>9</v>
      </c>
      <c r="B10" s="7" t="s">
        <v>35</v>
      </c>
      <c r="C10" s="6">
        <v>2002733</v>
      </c>
      <c r="D10" s="6" t="s">
        <v>28</v>
      </c>
      <c r="E10" s="8" t="s">
        <v>36</v>
      </c>
      <c r="F10" s="9">
        <v>17200000</v>
      </c>
      <c r="G10" s="10">
        <v>43312</v>
      </c>
      <c r="H10" s="11">
        <v>1540300.4363904109</v>
      </c>
      <c r="I10" s="14">
        <v>3000000</v>
      </c>
      <c r="J10" s="13">
        <f>I10-H10</f>
        <v>1459699.5636095891</v>
      </c>
      <c r="K10" s="20" t="s">
        <v>15</v>
      </c>
      <c r="L10" t="s">
        <v>30</v>
      </c>
    </row>
    <row r="11" spans="1:12" x14ac:dyDescent="0.35">
      <c r="A11" s="6">
        <v>10</v>
      </c>
      <c r="B11" s="7" t="s">
        <v>37</v>
      </c>
      <c r="C11" s="6">
        <v>2002734</v>
      </c>
      <c r="D11" s="6" t="s">
        <v>28</v>
      </c>
      <c r="E11" s="8" t="s">
        <v>38</v>
      </c>
      <c r="F11" s="9">
        <v>17200000</v>
      </c>
      <c r="G11" s="10">
        <v>43312</v>
      </c>
      <c r="H11" s="11">
        <v>1540300.4363904109</v>
      </c>
      <c r="I11" s="14">
        <v>3000000</v>
      </c>
      <c r="J11" s="13">
        <f>I11-H11</f>
        <v>1459699.5636095891</v>
      </c>
      <c r="K11" s="20" t="s">
        <v>15</v>
      </c>
      <c r="L11" t="s">
        <v>30</v>
      </c>
    </row>
    <row r="12" spans="1:12" x14ac:dyDescent="0.35">
      <c r="A12" s="6">
        <v>11</v>
      </c>
      <c r="B12" s="7" t="s">
        <v>39</v>
      </c>
      <c r="C12" s="6">
        <v>2002761</v>
      </c>
      <c r="D12" s="6" t="s">
        <v>28</v>
      </c>
      <c r="E12" s="8" t="s">
        <v>40</v>
      </c>
      <c r="F12" s="9">
        <v>17200000</v>
      </c>
      <c r="G12" s="10">
        <v>43402</v>
      </c>
      <c r="H12" s="11">
        <v>2049036.5132083634</v>
      </c>
      <c r="I12" s="14">
        <v>3000000</v>
      </c>
      <c r="J12" s="13">
        <f>I12-H12</f>
        <v>950963.48679163656</v>
      </c>
      <c r="K12" s="20" t="s">
        <v>15</v>
      </c>
      <c r="L12" t="s">
        <v>30</v>
      </c>
    </row>
    <row r="13" spans="1:12" x14ac:dyDescent="0.35">
      <c r="A13" s="6">
        <v>12</v>
      </c>
      <c r="B13" s="8" t="s">
        <v>41</v>
      </c>
      <c r="C13" s="6">
        <v>2002226</v>
      </c>
      <c r="D13" s="6" t="s">
        <v>42</v>
      </c>
      <c r="E13" s="8" t="s">
        <v>43</v>
      </c>
      <c r="F13" s="9">
        <v>16646998</v>
      </c>
      <c r="G13" s="10">
        <v>42338</v>
      </c>
      <c r="H13" s="11">
        <v>832349.9</v>
      </c>
      <c r="I13" s="14">
        <v>2000000</v>
      </c>
      <c r="J13" s="13">
        <f>I13-H13</f>
        <v>1167650.1000000001</v>
      </c>
      <c r="K13" s="20" t="s">
        <v>15</v>
      </c>
      <c r="L13" t="s">
        <v>44</v>
      </c>
    </row>
    <row r="14" spans="1:12" x14ac:dyDescent="0.35">
      <c r="A14" s="6">
        <v>13</v>
      </c>
      <c r="B14" s="8" t="s">
        <v>45</v>
      </c>
      <c r="C14" s="6">
        <v>2002284</v>
      </c>
      <c r="D14" s="6" t="s">
        <v>42</v>
      </c>
      <c r="E14" s="8" t="s">
        <v>46</v>
      </c>
      <c r="F14" s="9">
        <v>17280245</v>
      </c>
      <c r="G14" s="10">
        <v>42723</v>
      </c>
      <c r="H14" s="11">
        <v>864012.25</v>
      </c>
      <c r="I14" s="14">
        <v>2000000</v>
      </c>
      <c r="J14" s="13">
        <f>I14-H14</f>
        <v>1135987.75</v>
      </c>
      <c r="K14" s="20" t="s">
        <v>15</v>
      </c>
      <c r="L14" t="s">
        <v>44</v>
      </c>
    </row>
    <row r="15" spans="1:12" x14ac:dyDescent="0.35">
      <c r="A15" s="6">
        <v>14</v>
      </c>
      <c r="B15" s="8" t="s">
        <v>47</v>
      </c>
      <c r="C15" s="6">
        <v>2002310</v>
      </c>
      <c r="D15" s="6" t="s">
        <v>42</v>
      </c>
      <c r="E15" s="8" t="s">
        <v>48</v>
      </c>
      <c r="F15" s="9">
        <v>22418668</v>
      </c>
      <c r="G15" s="10">
        <v>43046</v>
      </c>
      <c r="H15" s="11">
        <v>1120933.3999999999</v>
      </c>
      <c r="I15" s="14">
        <v>2500000</v>
      </c>
      <c r="J15" s="13">
        <f>I15-H15</f>
        <v>1379066.6</v>
      </c>
      <c r="K15" s="20" t="s">
        <v>15</v>
      </c>
      <c r="L15" t="s">
        <v>49</v>
      </c>
    </row>
    <row r="16" spans="1:12" x14ac:dyDescent="0.35">
      <c r="A16" s="6">
        <v>15</v>
      </c>
      <c r="B16" s="8" t="s">
        <v>50</v>
      </c>
      <c r="C16" s="15">
        <v>2002518</v>
      </c>
      <c r="D16" s="15" t="s">
        <v>13</v>
      </c>
      <c r="E16" s="8" t="s">
        <v>51</v>
      </c>
      <c r="F16" s="9">
        <v>1976009</v>
      </c>
      <c r="G16" s="10">
        <v>43235</v>
      </c>
      <c r="H16" s="11">
        <v>109422.28728345626</v>
      </c>
      <c r="I16" s="12">
        <v>500000</v>
      </c>
      <c r="J16" s="13">
        <f>I16-H16</f>
        <v>390577.71271654376</v>
      </c>
      <c r="K16" s="20" t="s">
        <v>15</v>
      </c>
      <c r="L16" t="s">
        <v>52</v>
      </c>
    </row>
    <row r="17" spans="1:12" x14ac:dyDescent="0.35">
      <c r="A17" s="6">
        <v>16</v>
      </c>
      <c r="B17" s="7" t="s">
        <v>53</v>
      </c>
      <c r="C17" s="6">
        <v>2003084</v>
      </c>
      <c r="D17" s="6" t="s">
        <v>28</v>
      </c>
      <c r="E17" s="8" t="s">
        <v>54</v>
      </c>
      <c r="F17" s="9">
        <v>17498250</v>
      </c>
      <c r="G17" s="10">
        <v>43732</v>
      </c>
      <c r="H17" s="11">
        <v>3974078.8103232877</v>
      </c>
      <c r="I17" s="14">
        <v>3500000</v>
      </c>
      <c r="J17" s="13">
        <f>I17-H17</f>
        <v>-474078.81032328773</v>
      </c>
      <c r="K17" s="4" t="s">
        <v>15</v>
      </c>
      <c r="L17" t="s">
        <v>30</v>
      </c>
    </row>
    <row r="18" spans="1:12" x14ac:dyDescent="0.35">
      <c r="A18" s="6">
        <v>17</v>
      </c>
      <c r="B18" s="7" t="s">
        <v>55</v>
      </c>
      <c r="C18" s="6">
        <v>2003085</v>
      </c>
      <c r="D18" s="6" t="s">
        <v>28</v>
      </c>
      <c r="E18" s="8" t="s">
        <v>54</v>
      </c>
      <c r="F18" s="9">
        <v>17498250</v>
      </c>
      <c r="G18" s="10">
        <v>43732</v>
      </c>
      <c r="H18" s="11">
        <v>3974078.8103232877</v>
      </c>
      <c r="I18" s="14">
        <v>3500000</v>
      </c>
      <c r="J18" s="13">
        <f>I18-H18</f>
        <v>-474078.81032328773</v>
      </c>
      <c r="K18" s="4" t="s">
        <v>15</v>
      </c>
      <c r="L18" t="s">
        <v>30</v>
      </c>
    </row>
    <row r="19" spans="1:12" x14ac:dyDescent="0.35">
      <c r="A19" s="6">
        <v>18</v>
      </c>
      <c r="B19" s="7" t="s">
        <v>56</v>
      </c>
      <c r="C19" s="6">
        <v>2003086</v>
      </c>
      <c r="D19" s="6" t="s">
        <v>28</v>
      </c>
      <c r="E19" s="8" t="s">
        <v>54</v>
      </c>
      <c r="F19" s="9">
        <v>17503500</v>
      </c>
      <c r="G19" s="10">
        <v>43732</v>
      </c>
      <c r="H19" s="11">
        <v>3975271.161282192</v>
      </c>
      <c r="I19" s="14">
        <v>3500000</v>
      </c>
      <c r="J19" s="13">
        <f>I19-H19</f>
        <v>-475271.16128219198</v>
      </c>
      <c r="K19" s="4" t="s">
        <v>15</v>
      </c>
      <c r="L19" t="s">
        <v>30</v>
      </c>
    </row>
    <row r="20" spans="1:12" x14ac:dyDescent="0.35">
      <c r="A20" s="6">
        <v>19</v>
      </c>
      <c r="B20" s="7" t="s">
        <v>57</v>
      </c>
      <c r="C20" s="6">
        <v>2003151</v>
      </c>
      <c r="D20" s="6" t="s">
        <v>28</v>
      </c>
      <c r="E20" s="8" t="s">
        <v>58</v>
      </c>
      <c r="F20" s="9">
        <v>17500000</v>
      </c>
      <c r="G20" s="10">
        <v>43851</v>
      </c>
      <c r="H20" s="11">
        <v>4657469.8184947623</v>
      </c>
      <c r="I20" s="14">
        <v>3500000</v>
      </c>
      <c r="J20" s="13">
        <f>I20-H20</f>
        <v>-1157469.8184947623</v>
      </c>
      <c r="K20" s="4" t="s">
        <v>15</v>
      </c>
      <c r="L20" t="s">
        <v>30</v>
      </c>
    </row>
    <row r="21" spans="1:12" x14ac:dyDescent="0.35">
      <c r="A21" s="6">
        <v>20</v>
      </c>
      <c r="B21" s="7" t="s">
        <v>59</v>
      </c>
      <c r="C21" s="6">
        <v>2003152</v>
      </c>
      <c r="D21" s="6" t="s">
        <v>28</v>
      </c>
      <c r="E21" s="8" t="s">
        <v>60</v>
      </c>
      <c r="F21" s="9">
        <v>17500000</v>
      </c>
      <c r="G21" s="10">
        <v>43851</v>
      </c>
      <c r="H21" s="11">
        <v>4657469.8184947623</v>
      </c>
      <c r="I21" s="14">
        <v>3500000</v>
      </c>
      <c r="J21" s="13">
        <f>I21-H21</f>
        <v>-1157469.8184947623</v>
      </c>
      <c r="K21" s="4" t="s">
        <v>15</v>
      </c>
      <c r="L21" t="s">
        <v>30</v>
      </c>
    </row>
    <row r="22" spans="1:12" x14ac:dyDescent="0.35">
      <c r="A22" s="6">
        <v>21</v>
      </c>
      <c r="B22" s="7" t="s">
        <v>61</v>
      </c>
      <c r="C22" s="6">
        <v>2003153</v>
      </c>
      <c r="D22" s="6" t="s">
        <v>28</v>
      </c>
      <c r="E22" s="8" t="s">
        <v>62</v>
      </c>
      <c r="F22" s="9">
        <v>17500000</v>
      </c>
      <c r="G22" s="10">
        <v>43851</v>
      </c>
      <c r="H22" s="11">
        <v>4657469.8184947623</v>
      </c>
      <c r="I22" s="14">
        <v>3500000</v>
      </c>
      <c r="J22" s="13">
        <f>I22-H22</f>
        <v>-1157469.8184947623</v>
      </c>
      <c r="K22" s="4" t="s">
        <v>15</v>
      </c>
      <c r="L22" t="s">
        <v>30</v>
      </c>
    </row>
    <row r="23" spans="1:12" x14ac:dyDescent="0.35">
      <c r="A23" s="6">
        <v>22</v>
      </c>
      <c r="B23" s="7" t="s">
        <v>63</v>
      </c>
      <c r="C23" s="6">
        <v>2003154</v>
      </c>
      <c r="D23" s="6" t="s">
        <v>28</v>
      </c>
      <c r="E23" s="8" t="s">
        <v>64</v>
      </c>
      <c r="F23" s="9">
        <v>17500000</v>
      </c>
      <c r="G23" s="10">
        <v>43851</v>
      </c>
      <c r="H23" s="11">
        <v>4657469.8184947623</v>
      </c>
      <c r="I23" s="14">
        <v>3500000</v>
      </c>
      <c r="J23" s="13">
        <f>I23-H23</f>
        <v>-1157469.8184947623</v>
      </c>
      <c r="K23" s="4" t="s">
        <v>15</v>
      </c>
      <c r="L23" t="s">
        <v>30</v>
      </c>
    </row>
    <row r="24" spans="1:12" ht="14.5" customHeight="1" x14ac:dyDescent="0.35">
      <c r="A24" s="6">
        <v>23</v>
      </c>
      <c r="B24" s="8" t="s">
        <v>65</v>
      </c>
      <c r="C24" s="15">
        <v>3100339</v>
      </c>
      <c r="D24" s="15" t="s">
        <v>66</v>
      </c>
      <c r="E24" s="8" t="s">
        <v>67</v>
      </c>
      <c r="F24" s="9">
        <v>1944605.76</v>
      </c>
      <c r="G24" s="10">
        <v>43525</v>
      </c>
      <c r="H24" s="11">
        <v>264530.51710899343</v>
      </c>
      <c r="I24" s="12">
        <v>400000</v>
      </c>
      <c r="J24" s="13">
        <f>I24-H24</f>
        <v>135469.48289100657</v>
      </c>
      <c r="K24" s="21" t="s">
        <v>68</v>
      </c>
      <c r="L24" t="s">
        <v>69</v>
      </c>
    </row>
    <row r="25" spans="1:12" x14ac:dyDescent="0.35">
      <c r="A25" s="6">
        <v>24</v>
      </c>
      <c r="B25" s="8" t="s">
        <v>70</v>
      </c>
      <c r="C25" s="15">
        <v>3100323</v>
      </c>
      <c r="D25" s="15" t="s">
        <v>66</v>
      </c>
      <c r="E25" s="8" t="s">
        <v>71</v>
      </c>
      <c r="F25" s="9">
        <v>1795730.76</v>
      </c>
      <c r="G25" s="10">
        <v>43312</v>
      </c>
      <c r="H25" s="11">
        <v>162107.15676027397</v>
      </c>
      <c r="I25" s="12">
        <v>400000</v>
      </c>
      <c r="J25" s="13">
        <f>I25-H25</f>
        <v>237892.84323972603</v>
      </c>
      <c r="K25" s="21" t="s">
        <v>68</v>
      </c>
      <c r="L25" t="s">
        <v>69</v>
      </c>
    </row>
    <row r="26" spans="1:12" x14ac:dyDescent="0.35">
      <c r="A26" s="6">
        <v>25</v>
      </c>
      <c r="B26" s="8" t="s">
        <v>72</v>
      </c>
      <c r="C26" s="15">
        <v>3100354</v>
      </c>
      <c r="D26" s="15" t="s">
        <v>73</v>
      </c>
      <c r="E26" s="8" t="s">
        <v>74</v>
      </c>
      <c r="F26" s="9">
        <v>2890393</v>
      </c>
      <c r="G26" s="10">
        <v>44025</v>
      </c>
      <c r="H26" s="11">
        <v>836441.49966701795</v>
      </c>
      <c r="I26" s="16" t="s">
        <v>75</v>
      </c>
      <c r="J26" s="16" t="s">
        <v>75</v>
      </c>
      <c r="K26" s="21" t="s">
        <v>68</v>
      </c>
      <c r="L26" t="s">
        <v>76</v>
      </c>
    </row>
    <row r="27" spans="1:12" x14ac:dyDescent="0.35">
      <c r="A27" s="6">
        <v>26</v>
      </c>
      <c r="B27" s="8" t="s">
        <v>77</v>
      </c>
      <c r="C27" s="6">
        <v>2000000094</v>
      </c>
      <c r="D27" s="6" t="s">
        <v>73</v>
      </c>
      <c r="E27" s="8" t="s">
        <v>78</v>
      </c>
      <c r="F27" s="9">
        <v>3578442.51</v>
      </c>
      <c r="G27" s="10">
        <v>45658</v>
      </c>
      <c r="H27" s="11">
        <v>3048722.7114452054</v>
      </c>
      <c r="I27" s="16" t="s">
        <v>75</v>
      </c>
      <c r="J27" s="16" t="s">
        <v>75</v>
      </c>
      <c r="K27" s="21" t="s">
        <v>68</v>
      </c>
      <c r="L27" t="s">
        <v>76</v>
      </c>
    </row>
    <row r="28" spans="1:12" x14ac:dyDescent="0.35">
      <c r="A28" s="6">
        <v>27</v>
      </c>
      <c r="B28" s="7" t="s">
        <v>79</v>
      </c>
      <c r="C28" s="6">
        <v>2003332</v>
      </c>
      <c r="D28" s="6" t="s">
        <v>13</v>
      </c>
      <c r="E28" s="8" t="s">
        <v>80</v>
      </c>
      <c r="F28" s="9">
        <v>15290667</v>
      </c>
      <c r="G28" s="10">
        <v>44422</v>
      </c>
      <c r="H28" s="11">
        <v>5454364.0278640483</v>
      </c>
      <c r="I28" s="12">
        <v>2200000</v>
      </c>
      <c r="J28" s="13">
        <f>I28-H28</f>
        <v>-3254364.0278640483</v>
      </c>
      <c r="K28" s="4" t="s">
        <v>68</v>
      </c>
      <c r="L28" t="s">
        <v>16</v>
      </c>
    </row>
    <row r="29" spans="1:12" x14ac:dyDescent="0.35">
      <c r="A29" s="6">
        <v>28</v>
      </c>
      <c r="B29" s="7" t="s">
        <v>81</v>
      </c>
      <c r="C29" s="6">
        <v>2003343</v>
      </c>
      <c r="D29" s="6" t="s">
        <v>13</v>
      </c>
      <c r="E29" s="8" t="s">
        <v>80</v>
      </c>
      <c r="F29" s="9">
        <v>18300000</v>
      </c>
      <c r="G29" s="10">
        <v>44446</v>
      </c>
      <c r="H29" s="11">
        <v>8365818.9869806161</v>
      </c>
      <c r="I29" s="12">
        <v>2200000</v>
      </c>
      <c r="J29" s="13">
        <f>I29-H29</f>
        <v>-6165818.9869806161</v>
      </c>
      <c r="K29" s="4" t="s">
        <v>68</v>
      </c>
      <c r="L29" t="s">
        <v>16</v>
      </c>
    </row>
    <row r="30" spans="1:12" x14ac:dyDescent="0.35">
      <c r="A30" s="6">
        <v>29</v>
      </c>
      <c r="B30" s="7" t="s">
        <v>82</v>
      </c>
      <c r="C30" s="15">
        <v>2003633</v>
      </c>
      <c r="D30" s="6" t="s">
        <v>13</v>
      </c>
      <c r="E30" s="8" t="s">
        <v>83</v>
      </c>
      <c r="F30" s="9">
        <v>19750000</v>
      </c>
      <c r="G30" s="10">
        <v>45139</v>
      </c>
      <c r="H30" s="11">
        <v>9743333.3108876701</v>
      </c>
      <c r="I30" s="12">
        <v>2500000</v>
      </c>
      <c r="J30" s="13">
        <f>I30-H30</f>
        <v>-7243333.3108876701</v>
      </c>
      <c r="K30" s="4" t="s">
        <v>68</v>
      </c>
      <c r="L30" t="s">
        <v>16</v>
      </c>
    </row>
    <row r="31" spans="1:12" x14ac:dyDescent="0.35">
      <c r="A31" s="6">
        <v>30</v>
      </c>
      <c r="B31" s="7" t="s">
        <v>84</v>
      </c>
      <c r="C31" s="15">
        <v>2003634</v>
      </c>
      <c r="D31" s="6" t="s">
        <v>13</v>
      </c>
      <c r="E31" s="8" t="s">
        <v>83</v>
      </c>
      <c r="F31" s="9">
        <v>19750000</v>
      </c>
      <c r="G31" s="10">
        <v>45169</v>
      </c>
      <c r="H31" s="11">
        <v>10053236.679346476</v>
      </c>
      <c r="I31" s="12">
        <v>2500000</v>
      </c>
      <c r="J31" s="13">
        <f>I31-H31</f>
        <v>-7553236.6793464758</v>
      </c>
      <c r="K31" s="4" t="s">
        <v>68</v>
      </c>
      <c r="L31" t="s">
        <v>16</v>
      </c>
    </row>
    <row r="32" spans="1:12" x14ac:dyDescent="0.35">
      <c r="A32" s="6">
        <v>31</v>
      </c>
      <c r="B32" s="8" t="s">
        <v>85</v>
      </c>
      <c r="C32" s="15">
        <v>2003753</v>
      </c>
      <c r="D32" s="6" t="s">
        <v>28</v>
      </c>
      <c r="E32" s="8" t="s">
        <v>86</v>
      </c>
      <c r="F32" s="9">
        <v>26000000</v>
      </c>
      <c r="G32" s="10">
        <v>45307</v>
      </c>
      <c r="H32" s="11">
        <v>19231585.647913132</v>
      </c>
      <c r="I32" s="14">
        <v>5000000</v>
      </c>
      <c r="J32" s="13">
        <f>I32-H32</f>
        <v>-14231585.647913132</v>
      </c>
      <c r="K32" s="4" t="s">
        <v>68</v>
      </c>
      <c r="L32" t="s">
        <v>87</v>
      </c>
    </row>
    <row r="33" spans="1:12" x14ac:dyDescent="0.35">
      <c r="A33" s="6">
        <v>32</v>
      </c>
      <c r="B33" s="8" t="s">
        <v>88</v>
      </c>
      <c r="C33" s="6">
        <v>1300003011</v>
      </c>
      <c r="D33" s="6" t="s">
        <v>28</v>
      </c>
      <c r="E33" s="8" t="s">
        <v>89</v>
      </c>
      <c r="F33" s="9">
        <v>26600000</v>
      </c>
      <c r="G33" s="10">
        <v>45471</v>
      </c>
      <c r="H33" s="11">
        <v>17710498.694383562</v>
      </c>
      <c r="I33" s="14">
        <v>5500000</v>
      </c>
      <c r="J33" s="13">
        <f>I33-H33</f>
        <v>-12210498.694383562</v>
      </c>
      <c r="K33" s="4" t="s">
        <v>68</v>
      </c>
      <c r="L33" t="s">
        <v>87</v>
      </c>
    </row>
    <row r="34" spans="1:12" x14ac:dyDescent="0.35">
      <c r="A34" s="6">
        <v>33</v>
      </c>
      <c r="B34" s="8" t="s">
        <v>90</v>
      </c>
      <c r="C34" s="6">
        <v>1300003012</v>
      </c>
      <c r="D34" s="6" t="s">
        <v>28</v>
      </c>
      <c r="E34" s="8" t="s">
        <v>91</v>
      </c>
      <c r="F34" s="9">
        <v>26600000</v>
      </c>
      <c r="G34" s="10">
        <v>45471</v>
      </c>
      <c r="H34" s="11">
        <v>16699698.704383561</v>
      </c>
      <c r="I34" s="14">
        <v>5500000</v>
      </c>
      <c r="J34" s="13">
        <f>I34-H34</f>
        <v>-11199698.704383561</v>
      </c>
      <c r="K34" s="4" t="s">
        <v>68</v>
      </c>
      <c r="L34" t="s">
        <v>87</v>
      </c>
    </row>
    <row r="35" spans="1:12" x14ac:dyDescent="0.35">
      <c r="A35" s="6">
        <v>34</v>
      </c>
      <c r="B35" s="8" t="s">
        <v>92</v>
      </c>
      <c r="C35" s="15">
        <v>2003721</v>
      </c>
      <c r="D35" s="6" t="s">
        <v>42</v>
      </c>
      <c r="E35" s="8" t="s">
        <v>93</v>
      </c>
      <c r="F35" s="9">
        <v>32900000</v>
      </c>
      <c r="G35" s="10">
        <v>45291</v>
      </c>
      <c r="H35" s="11">
        <v>24105571.349682394</v>
      </c>
      <c r="I35" s="12">
        <v>7000000</v>
      </c>
      <c r="J35" s="13">
        <f>I35-H35</f>
        <v>-17105571.349682394</v>
      </c>
      <c r="K35" s="4" t="s">
        <v>68</v>
      </c>
      <c r="L35" t="s">
        <v>94</v>
      </c>
    </row>
  </sheetData>
  <conditionalFormatting sqref="J1:J25 J28:J1048576">
    <cfRule type="cellIs" dxfId="55" priority="2" operator="lessThan">
      <formula>0</formula>
    </cfRule>
  </conditionalFormatting>
  <conditionalFormatting sqref="J1:J25 J28:J1048576">
    <cfRule type="cellIs" dxfId="54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Mining Equipments (fnl2)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Tiwari</dc:creator>
  <cp:lastModifiedBy>Atul Tiwari</cp:lastModifiedBy>
  <dcterms:created xsi:type="dcterms:W3CDTF">2026-04-28T05:20:37Z</dcterms:created>
  <dcterms:modified xsi:type="dcterms:W3CDTF">2026-04-28T05:37:32Z</dcterms:modified>
</cp:coreProperties>
</file>